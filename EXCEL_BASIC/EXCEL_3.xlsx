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Attachments\Desktop\document\EXCEL\EXCEL_BASIC\"/>
    </mc:Choice>
  </mc:AlternateContent>
  <xr:revisionPtr revIDLastSave="0" documentId="8_{EF4B8344-2282-4D01-80E2-ADAC6B29F8FD}" xr6:coauthVersionLast="47" xr6:coauthVersionMax="47" xr10:uidLastSave="{00000000-0000-0000-0000-000000000000}"/>
  <bookViews>
    <workbookView xWindow="-108" yWindow="-108" windowWidth="23256" windowHeight="12456" xr2:uid="{A418070B-0BF1-4D69-AFEF-B468AFB65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1" l="1"/>
  <c r="M16" i="1"/>
  <c r="M14" i="1"/>
  <c r="M12" i="1"/>
  <c r="M10" i="1"/>
  <c r="M8" i="1"/>
  <c r="M6" i="1"/>
  <c r="M4" i="1"/>
  <c r="M21" i="1" s="1"/>
  <c r="R9" i="1"/>
  <c r="R19" i="1"/>
  <c r="R5" i="1"/>
  <c r="R3" i="1"/>
  <c r="R15" i="1"/>
  <c r="R17" i="1"/>
  <c r="R18" i="1"/>
  <c r="R13" i="1"/>
  <c r="R7" i="1"/>
  <c r="R11" i="1"/>
  <c r="I19" i="1" a="1"/>
  <c r="I19" i="1" s="1"/>
  <c r="I5" i="1" a="1"/>
  <c r="I5" i="1" s="1"/>
  <c r="I3" i="1" a="1"/>
  <c r="I3" i="1" s="1"/>
  <c r="I15" i="1" a="1"/>
  <c r="I15" i="1" s="1"/>
  <c r="I17" i="1" a="1"/>
  <c r="I17" i="1" s="1"/>
  <c r="I18" i="1" a="1"/>
  <c r="I18" i="1" s="1"/>
  <c r="I13" i="1" a="1"/>
  <c r="I13" i="1" s="1"/>
  <c r="I7" i="1" a="1"/>
  <c r="I7" i="1" s="1"/>
  <c r="I11" i="1" a="1"/>
  <c r="I11" i="1" s="1"/>
  <c r="I9" i="1" a="1"/>
  <c r="I9" i="1" s="1"/>
  <c r="H19" i="1" a="1"/>
  <c r="H19" i="1" s="1"/>
  <c r="H5" i="1" a="1"/>
  <c r="H5" i="1" s="1"/>
  <c r="H3" i="1" a="1"/>
  <c r="H3" i="1" s="1"/>
  <c r="H15" i="1" a="1"/>
  <c r="H15" i="1" s="1"/>
  <c r="H17" i="1" a="1"/>
  <c r="H17" i="1" s="1"/>
  <c r="H18" i="1" a="1"/>
  <c r="H18" i="1" s="1"/>
  <c r="H13" i="1" a="1"/>
  <c r="H13" i="1" s="1"/>
  <c r="H7" i="1" a="1"/>
  <c r="H7" i="1" s="1"/>
  <c r="H11" i="1" a="1"/>
  <c r="H11" i="1" s="1"/>
  <c r="H9" i="1" a="1"/>
  <c r="H9" i="1" s="1"/>
  <c r="O11" i="1"/>
  <c r="O7" i="1"/>
  <c r="O13" i="1"/>
  <c r="O18" i="1"/>
  <c r="O17" i="1"/>
  <c r="O15" i="1"/>
  <c r="O3" i="1"/>
  <c r="O5" i="1"/>
  <c r="O19" i="1"/>
  <c r="O9" i="1"/>
  <c r="Q13" i="1"/>
  <c r="Q7" i="1"/>
  <c r="Q11" i="1"/>
  <c r="Q19" i="1"/>
  <c r="Q5" i="1"/>
  <c r="Q3" i="1"/>
  <c r="Q15" i="1"/>
  <c r="Q9" i="1"/>
  <c r="P19" i="1"/>
  <c r="P5" i="1"/>
  <c r="P3" i="1"/>
  <c r="P15" i="1"/>
  <c r="P13" i="1"/>
  <c r="P7" i="1"/>
  <c r="P11" i="1"/>
  <c r="P9" i="1"/>
  <c r="F19" i="1"/>
  <c r="F5" i="1"/>
  <c r="F3" i="1"/>
  <c r="D25" i="1" s="1"/>
  <c r="F15" i="1"/>
  <c r="F17" i="1"/>
  <c r="F18" i="1"/>
  <c r="F13" i="1"/>
  <c r="F7" i="1"/>
  <c r="F11" i="1"/>
  <c r="F9" i="1"/>
  <c r="C9" i="1"/>
  <c r="C19" i="1"/>
  <c r="C5" i="1"/>
  <c r="C3" i="1"/>
  <c r="C15" i="1"/>
  <c r="C17" i="1"/>
  <c r="C18" i="1"/>
  <c r="C13" i="1"/>
  <c r="C7" i="1"/>
  <c r="C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<sst xmlns="http://schemas.openxmlformats.org/spreadsheetml/2006/main" count="107" uniqueCount="87">
  <si>
    <t>Name</t>
  </si>
  <si>
    <t>Email</t>
  </si>
  <si>
    <t>Depratment</t>
  </si>
  <si>
    <t>Designation</t>
  </si>
  <si>
    <t>D.O.J</t>
  </si>
  <si>
    <t>Joining Year</t>
  </si>
  <si>
    <t>Emp Id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</si>
  <si>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</si>
  <si>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</si>
  <si>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</si>
  <si>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</si>
  <si>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</si>
  <si>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</si>
  <si>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</si>
  <si>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</si>
  <si>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</si>
  <si>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</si>
  <si>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 xml:space="preserve"> Harsh Ranjan</t>
  </si>
  <si>
    <t>Vicky Kumar</t>
  </si>
  <si>
    <t xml:space="preserve">    Riya Kumari</t>
  </si>
  <si>
    <t>Keshav Raj</t>
  </si>
  <si>
    <t>Ricky Kumar</t>
  </si>
  <si>
    <t xml:space="preserve">   Raj Kumar</t>
  </si>
  <si>
    <t xml:space="preserve">  Kaushal Sharma</t>
  </si>
  <si>
    <t>Vivek Sharma</t>
  </si>
  <si>
    <t xml:space="preserve">  Shakshi Shital</t>
  </si>
  <si>
    <t xml:space="preserve">  Rohan Kumar</t>
  </si>
  <si>
    <t>Rm-space</t>
  </si>
  <si>
    <t>First Name</t>
  </si>
  <si>
    <t>Harsh</t>
  </si>
  <si>
    <t>Vicky</t>
  </si>
  <si>
    <t>Riya</t>
  </si>
  <si>
    <t>Keshav</t>
  </si>
  <si>
    <t>Ricky</t>
  </si>
  <si>
    <t>Raj</t>
  </si>
  <si>
    <t>Kaushal</t>
  </si>
  <si>
    <t>Vivek</t>
  </si>
  <si>
    <t>Shakshi</t>
  </si>
  <si>
    <t>Rohan</t>
  </si>
  <si>
    <t>Ranjan</t>
  </si>
  <si>
    <t>Last Name</t>
  </si>
  <si>
    <t>Kumar</t>
  </si>
  <si>
    <t>Kumari</t>
  </si>
  <si>
    <t>Sharma</t>
  </si>
  <si>
    <t>Shital</t>
  </si>
  <si>
    <t>harshranjan1644@gmail.com</t>
  </si>
  <si>
    <t>Full Name</t>
  </si>
  <si>
    <t>vickykumar1789gmail.com</t>
  </si>
  <si>
    <t>riyakumari2367@gmail.com</t>
  </si>
  <si>
    <t>keshavraj1694@gmail.com</t>
  </si>
  <si>
    <t>rickykumar9824@gmail.com</t>
  </si>
  <si>
    <t>rajkumar2314@gmail.com</t>
  </si>
  <si>
    <t>kaushalsharma1244@gmail.com</t>
  </si>
  <si>
    <t>viveksharma6321@gmail.com</t>
  </si>
  <si>
    <t>shakshishital1624@gmail.com</t>
  </si>
  <si>
    <t>rohankumar3414@gmail.com</t>
  </si>
  <si>
    <t>HR</t>
  </si>
  <si>
    <t>IT</t>
  </si>
  <si>
    <t>Finance &amp; Accounts</t>
  </si>
  <si>
    <t>Marketing</t>
  </si>
  <si>
    <t>Sales</t>
  </si>
  <si>
    <t>Recruiter</t>
  </si>
  <si>
    <t>DevOps Eng</t>
  </si>
  <si>
    <t>Finance Analyst</t>
  </si>
  <si>
    <t>SEO Executive</t>
  </si>
  <si>
    <t>BDE</t>
  </si>
  <si>
    <t>Juinor Software Dev</t>
  </si>
  <si>
    <t>HR Manager</t>
  </si>
  <si>
    <t>Sales Head</t>
  </si>
  <si>
    <t>CFO</t>
  </si>
  <si>
    <t>Basic Salary</t>
  </si>
  <si>
    <t>Spend Department</t>
  </si>
  <si>
    <t>Total Year Working</t>
  </si>
  <si>
    <t>C.D.O.B</t>
  </si>
  <si>
    <t>Performance</t>
  </si>
  <si>
    <t>Bonus</t>
  </si>
  <si>
    <t>Rate</t>
  </si>
  <si>
    <t xml:space="preserve">  2/16/2009</t>
  </si>
  <si>
    <t xml:space="preserve">  2/16/2010</t>
  </si>
  <si>
    <t>Grand Total</t>
  </si>
  <si>
    <t>Marketing Total</t>
  </si>
  <si>
    <t>Finance &amp; Accounts Total</t>
  </si>
  <si>
    <t>Sales Total</t>
  </si>
  <si>
    <t>HR Total</t>
  </si>
  <si>
    <t>IT Total</t>
  </si>
  <si>
    <t>Harsh Salary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</si>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</sst>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2"/>
      <name val="Calibri"/>
      <family val="2"/>
      <scheme val="minor"/>
    </font>
    <font>
      <u/>
      <sz val="12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Continuous"/>
    </xf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5" fillId="3" borderId="0" xfId="1" applyFont="1" applyFill="1"/>
    <xf numFmtId="14" fontId="4" fillId="3" borderId="0" xfId="0" applyNumberFormat="1" applyFont="1" applyFill="1"/>
    <xf numFmtId="0" fontId="2" fillId="3" borderId="0" xfId="1" applyFill="1"/>
    <xf numFmtId="0" fontId="6" fillId="3" borderId="0" xfId="0" applyFont="1" applyFill="1"/>
    <xf numFmtId="0" fontId="7" fillId="4" borderId="0" xfId="0" applyFont="1" applyFill="1"/>
    <xf numFmtId="0" fontId="7" fillId="4" borderId="0" xfId="0" applyFont="1" applyFill="1" applyAlignment="1">
      <alignment vertical="center"/>
    </xf>
    <xf numFmtId="0" fontId="0" fillId="5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Year Of Working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Sheet1!$P$2</c:f>
              <c:strCache>
                <c:ptCount val="1"/>
                <c:pt idx="0">
                  <c:v>Joining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Sheet1!$A$3:$O$19</c:f>
              <c:multiLvlStrCache>
                <c:ptCount val="68"/>
                <c:lvl>
                  <c:pt idx="0">
                    <c:v>EMP004</c:v>
                  </c:pt>
                  <c:pt idx="2">
                    <c:v>EMP003</c:v>
                  </c:pt>
                  <c:pt idx="4">
                    <c:v>EMP009</c:v>
                  </c:pt>
                  <c:pt idx="6">
                    <c:v>EMP001</c:v>
                  </c:pt>
                  <c:pt idx="8">
                    <c:v>EMP010</c:v>
                  </c:pt>
                  <c:pt idx="10">
                    <c:v>EMP008</c:v>
                  </c:pt>
                  <c:pt idx="12">
                    <c:v>EMP005</c:v>
                  </c:pt>
                  <c:pt idx="14">
                    <c:v>EMP006</c:v>
                  </c:pt>
                  <c:pt idx="15">
                    <c:v>EMP007</c:v>
                  </c:pt>
                  <c:pt idx="16">
                    <c:v>EMP002</c:v>
                  </c:pt>
                  <c:pt idx="17">
                    <c:v>2</c:v>
                  </c:pt>
                  <c:pt idx="19">
                    <c:v>2</c:v>
                  </c:pt>
                  <c:pt idx="21">
                    <c:v>5</c:v>
                  </c:pt>
                  <c:pt idx="23">
                    <c:v>1</c:v>
                  </c:pt>
                  <c:pt idx="25">
                    <c:v>3</c:v>
                  </c:pt>
                  <c:pt idx="27">
                    <c:v>4</c:v>
                  </c:pt>
                  <c:pt idx="29">
                    <c:v>3</c:v>
                  </c:pt>
                  <c:pt idx="31">
                    <c:v>4</c:v>
                  </c:pt>
                  <c:pt idx="32">
                    <c:v>3</c:v>
                  </c:pt>
                  <c:pt idx="33">
                    <c:v>2</c:v>
                  </c:pt>
                  <c:pt idx="34">
                    <c:v>Marketing</c:v>
                  </c:pt>
                  <c:pt idx="35">
                    <c:v>Marketing Total</c:v>
                  </c:pt>
                  <c:pt idx="36">
                    <c:v>Finance &amp; Accounts</c:v>
                  </c:pt>
                  <c:pt idx="37">
                    <c:v>Finance &amp; Accounts Total</c:v>
                  </c:pt>
                  <c:pt idx="38">
                    <c:v>Sales</c:v>
                  </c:pt>
                  <c:pt idx="39">
                    <c:v>Sales Total</c:v>
                  </c:pt>
                  <c:pt idx="40">
                    <c:v>HR</c:v>
                  </c:pt>
                  <c:pt idx="41">
                    <c:v>HR Total</c:v>
                  </c:pt>
                  <c:pt idx="42">
                    <c:v>Finance &amp; Accounts</c:v>
                  </c:pt>
                  <c:pt idx="43">
                    <c:v>Finance &amp; Accounts Total</c:v>
                  </c:pt>
                  <c:pt idx="44">
                    <c:v>HR</c:v>
                  </c:pt>
                  <c:pt idx="45">
                    <c:v>HR Total</c:v>
                  </c:pt>
                  <c:pt idx="46">
                    <c:v>Sales</c:v>
                  </c:pt>
                  <c:pt idx="47">
                    <c:v>Sales Total</c:v>
                  </c:pt>
                  <c:pt idx="48">
                    <c:v>IT</c:v>
                  </c:pt>
                  <c:pt idx="49">
                    <c:v>IT</c:v>
                  </c:pt>
                  <c:pt idx="50">
                    <c:v>IT</c:v>
                  </c:pt>
                  <c:pt idx="51">
                    <c:v>9/12/2007</c:v>
                  </c:pt>
                  <c:pt idx="53">
                    <c:v>10/9/2006</c:v>
                  </c:pt>
                  <c:pt idx="55">
                    <c:v>7/13/2025</c:v>
                  </c:pt>
                  <c:pt idx="57">
                    <c:v>10/5/2004</c:v>
                  </c:pt>
                  <c:pt idx="59">
                    <c:v>4/14/2024</c:v>
                  </c:pt>
                  <c:pt idx="61">
                    <c:v>7/12/2025</c:v>
                  </c:pt>
                  <c:pt idx="63">
                    <c:v>9/13/2007</c:v>
                  </c:pt>
                  <c:pt idx="65">
                    <c:v>  2/16/2009</c:v>
                  </c:pt>
                  <c:pt idx="66">
                    <c:v>  2/16/2010</c:v>
                  </c:pt>
                  <c:pt idx="67">
                    <c:v>5/27/2004</c:v>
                  </c:pt>
                </c:lvl>
                <c:lvl>
                  <c:pt idx="17">
                    <c:v>Keshav Raj</c:v>
                  </c:pt>
                  <c:pt idx="19">
                    <c:v>Riya Kumari</c:v>
                  </c:pt>
                  <c:pt idx="21">
                    <c:v>Shakshi Shital</c:v>
                  </c:pt>
                  <c:pt idx="23">
                    <c:v>Harsh Ranjan</c:v>
                  </c:pt>
                  <c:pt idx="25">
                    <c:v>Rohan Kumar</c:v>
                  </c:pt>
                  <c:pt idx="27">
                    <c:v>Vivek Sharma</c:v>
                  </c:pt>
                  <c:pt idx="29">
                    <c:v>Ricky Kumar</c:v>
                  </c:pt>
                  <c:pt idx="31">
                    <c:v>Raj Kumar</c:v>
                  </c:pt>
                  <c:pt idx="32">
                    <c:v>Kaushal Sharma</c:v>
                  </c:pt>
                  <c:pt idx="33">
                    <c:v>Vicky Kumar</c:v>
                  </c:pt>
                  <c:pt idx="34">
                    <c:v>keshavraj1694@gmail.com</c:v>
                  </c:pt>
                  <c:pt idx="36">
                    <c:v>riyakumari2367@gmail.com</c:v>
                  </c:pt>
                  <c:pt idx="38">
                    <c:v>shakshishital1624@gmail.com</c:v>
                  </c:pt>
                  <c:pt idx="40">
                    <c:v>harshranjan1644@gmail.com</c:v>
                  </c:pt>
                  <c:pt idx="42">
                    <c:v>rohankumar3414@gmail.com</c:v>
                  </c:pt>
                  <c:pt idx="44">
                    <c:v>viveksharma6321@gmail.com</c:v>
                  </c:pt>
                  <c:pt idx="46">
                    <c:v>rickykumar9824@gmail.com</c:v>
                  </c:pt>
                  <c:pt idx="48">
                    <c:v>rajkumar2314@gmail.com</c:v>
                  </c:pt>
                  <c:pt idx="49">
                    <c:v>kaushalsharma1244@gmail.com</c:v>
                  </c:pt>
                  <c:pt idx="50">
                    <c:v>vickykumar1789gmail.com</c:v>
                  </c:pt>
                  <c:pt idx="51">
                    <c:v>25000</c:v>
                  </c:pt>
                  <c:pt idx="52">
                    <c:v>25000</c:v>
                  </c:pt>
                  <c:pt idx="53">
                    <c:v>30000</c:v>
                  </c:pt>
                  <c:pt idx="54">
                    <c:v>30000</c:v>
                  </c:pt>
                  <c:pt idx="55">
                    <c:v>35000</c:v>
                  </c:pt>
                  <c:pt idx="56">
                    <c:v>35000</c:v>
                  </c:pt>
                  <c:pt idx="57">
                    <c:v>40000</c:v>
                  </c:pt>
                  <c:pt idx="58">
                    <c:v>40000</c:v>
                  </c:pt>
                  <c:pt idx="59">
                    <c:v>40000</c:v>
                  </c:pt>
                  <c:pt idx="60">
                    <c:v>40000</c:v>
                  </c:pt>
                  <c:pt idx="61">
                    <c:v>50000</c:v>
                  </c:pt>
                  <c:pt idx="62">
                    <c:v>50000</c:v>
                  </c:pt>
                  <c:pt idx="63">
                    <c:v>60000</c:v>
                  </c:pt>
                  <c:pt idx="64">
                    <c:v>60000</c:v>
                  </c:pt>
                  <c:pt idx="65">
                    <c:v>70000</c:v>
                  </c:pt>
                  <c:pt idx="66">
                    <c:v>70000</c:v>
                  </c:pt>
                  <c:pt idx="67">
                    <c:v>100000</c:v>
                  </c:pt>
                </c:lvl>
                <c:lvl>
                  <c:pt idx="17">
                    <c:v>Raj</c:v>
                  </c:pt>
                  <c:pt idx="19">
                    <c:v>Kumari</c:v>
                  </c:pt>
                  <c:pt idx="21">
                    <c:v>Shital</c:v>
                  </c:pt>
                  <c:pt idx="23">
                    <c:v>Ranjan</c:v>
                  </c:pt>
                  <c:pt idx="25">
                    <c:v>Kumar</c:v>
                  </c:pt>
                  <c:pt idx="27">
                    <c:v>Sharma</c:v>
                  </c:pt>
                  <c:pt idx="29">
                    <c:v>Kumar</c:v>
                  </c:pt>
                  <c:pt idx="31">
                    <c:v>Kumar</c:v>
                  </c:pt>
                  <c:pt idx="32">
                    <c:v>Sharma</c:v>
                  </c:pt>
                  <c:pt idx="33">
                    <c:v>Kumar</c:v>
                  </c:pt>
                  <c:pt idx="34">
                    <c:v>Good</c:v>
                  </c:pt>
                  <c:pt idx="36">
                    <c:v>Good</c:v>
                  </c:pt>
                  <c:pt idx="38">
                    <c:v>Poor</c:v>
                  </c:pt>
                  <c:pt idx="40">
                    <c:v>Excellent</c:v>
                  </c:pt>
                  <c:pt idx="42">
                    <c:v>Average</c:v>
                  </c:pt>
                  <c:pt idx="44">
                    <c:v>Nice</c:v>
                  </c:pt>
                  <c:pt idx="46">
                    <c:v>Average</c:v>
                  </c:pt>
                  <c:pt idx="48">
                    <c:v>Nice</c:v>
                  </c:pt>
                  <c:pt idx="49">
                    <c:v>Average</c:v>
                  </c:pt>
                  <c:pt idx="50">
                    <c:v>Good</c:v>
                  </c:pt>
                </c:lvl>
                <c:lvl>
                  <c:pt idx="17">
                    <c:v>Keshav</c:v>
                  </c:pt>
                  <c:pt idx="19">
                    <c:v>Riya</c:v>
                  </c:pt>
                  <c:pt idx="21">
                    <c:v>Shakshi</c:v>
                  </c:pt>
                  <c:pt idx="23">
                    <c:v>Harsh</c:v>
                  </c:pt>
                  <c:pt idx="25">
                    <c:v>Rohan</c:v>
                  </c:pt>
                  <c:pt idx="27">
                    <c:v>Vivek</c:v>
                  </c:pt>
                  <c:pt idx="29">
                    <c:v>Ricky</c:v>
                  </c:pt>
                  <c:pt idx="31">
                    <c:v>Raj</c:v>
                  </c:pt>
                  <c:pt idx="32">
                    <c:v>Kaushal</c:v>
                  </c:pt>
                  <c:pt idx="33">
                    <c:v>Vicky</c:v>
                  </c:pt>
                </c:lvl>
              </c:multiLvlStrCache>
            </c:multiLvlStrRef>
          </c:cat>
          <c:val>
            <c:numRef>
              <c:f>Sheet1!$P$3:$P$19</c:f>
              <c:numCache>
                <c:formatCode>General</c:formatCode>
                <c:ptCount val="17"/>
                <c:pt idx="0">
                  <c:v>2007</c:v>
                </c:pt>
                <c:pt idx="2">
                  <c:v>2006</c:v>
                </c:pt>
                <c:pt idx="4">
                  <c:v>2025</c:v>
                </c:pt>
                <c:pt idx="6">
                  <c:v>2004</c:v>
                </c:pt>
                <c:pt idx="8">
                  <c:v>2024</c:v>
                </c:pt>
                <c:pt idx="10">
                  <c:v>2025</c:v>
                </c:pt>
                <c:pt idx="12">
                  <c:v>2007</c:v>
                </c:pt>
                <c:pt idx="14">
                  <c:v>2009</c:v>
                </c:pt>
                <c:pt idx="15">
                  <c:v>2009</c:v>
                </c:pt>
                <c:pt idx="16">
                  <c:v>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F-474B-BC2D-7AECEB60B966}"/>
            </c:ext>
          </c:extLst>
        </c:ser>
        <c:ser>
          <c:idx val="1"/>
          <c:order val="1"/>
          <c:tx>
            <c:strRef>
              <c:f>Sheet1!$Q$2</c:f>
              <c:strCache>
                <c:ptCount val="1"/>
                <c:pt idx="0">
                  <c:v>Total Year Working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Sheet1!$A$3:$O$19</c:f>
              <c:multiLvlStrCache>
                <c:ptCount val="68"/>
                <c:lvl>
                  <c:pt idx="0">
                    <c:v>EMP004</c:v>
                  </c:pt>
                  <c:pt idx="2">
                    <c:v>EMP003</c:v>
                  </c:pt>
                  <c:pt idx="4">
                    <c:v>EMP009</c:v>
                  </c:pt>
                  <c:pt idx="6">
                    <c:v>EMP001</c:v>
                  </c:pt>
                  <c:pt idx="8">
                    <c:v>EMP010</c:v>
                  </c:pt>
                  <c:pt idx="10">
                    <c:v>EMP008</c:v>
                  </c:pt>
                  <c:pt idx="12">
                    <c:v>EMP005</c:v>
                  </c:pt>
                  <c:pt idx="14">
                    <c:v>EMP006</c:v>
                  </c:pt>
                  <c:pt idx="15">
                    <c:v>EMP007</c:v>
                  </c:pt>
                  <c:pt idx="16">
                    <c:v>EMP002</c:v>
                  </c:pt>
                  <c:pt idx="17">
                    <c:v>2</c:v>
                  </c:pt>
                  <c:pt idx="19">
                    <c:v>2</c:v>
                  </c:pt>
                  <c:pt idx="21">
                    <c:v>5</c:v>
                  </c:pt>
                  <c:pt idx="23">
                    <c:v>1</c:v>
                  </c:pt>
                  <c:pt idx="25">
                    <c:v>3</c:v>
                  </c:pt>
                  <c:pt idx="27">
                    <c:v>4</c:v>
                  </c:pt>
                  <c:pt idx="29">
                    <c:v>3</c:v>
                  </c:pt>
                  <c:pt idx="31">
                    <c:v>4</c:v>
                  </c:pt>
                  <c:pt idx="32">
                    <c:v>3</c:v>
                  </c:pt>
                  <c:pt idx="33">
                    <c:v>2</c:v>
                  </c:pt>
                  <c:pt idx="34">
                    <c:v>Marketing</c:v>
                  </c:pt>
                  <c:pt idx="35">
                    <c:v>Marketing Total</c:v>
                  </c:pt>
                  <c:pt idx="36">
                    <c:v>Finance &amp; Accounts</c:v>
                  </c:pt>
                  <c:pt idx="37">
                    <c:v>Finance &amp; Accounts Total</c:v>
                  </c:pt>
                  <c:pt idx="38">
                    <c:v>Sales</c:v>
                  </c:pt>
                  <c:pt idx="39">
                    <c:v>Sales Total</c:v>
                  </c:pt>
                  <c:pt idx="40">
                    <c:v>HR</c:v>
                  </c:pt>
                  <c:pt idx="41">
                    <c:v>HR Total</c:v>
                  </c:pt>
                  <c:pt idx="42">
                    <c:v>Finance &amp; Accounts</c:v>
                  </c:pt>
                  <c:pt idx="43">
                    <c:v>Finance &amp; Accounts Total</c:v>
                  </c:pt>
                  <c:pt idx="44">
                    <c:v>HR</c:v>
                  </c:pt>
                  <c:pt idx="45">
                    <c:v>HR Total</c:v>
                  </c:pt>
                  <c:pt idx="46">
                    <c:v>Sales</c:v>
                  </c:pt>
                  <c:pt idx="47">
                    <c:v>Sales Total</c:v>
                  </c:pt>
                  <c:pt idx="48">
                    <c:v>IT</c:v>
                  </c:pt>
                  <c:pt idx="49">
                    <c:v>IT</c:v>
                  </c:pt>
                  <c:pt idx="50">
                    <c:v>IT</c:v>
                  </c:pt>
                  <c:pt idx="51">
                    <c:v>9/12/2007</c:v>
                  </c:pt>
                  <c:pt idx="53">
                    <c:v>10/9/2006</c:v>
                  </c:pt>
                  <c:pt idx="55">
                    <c:v>7/13/2025</c:v>
                  </c:pt>
                  <c:pt idx="57">
                    <c:v>10/5/2004</c:v>
                  </c:pt>
                  <c:pt idx="59">
                    <c:v>4/14/2024</c:v>
                  </c:pt>
                  <c:pt idx="61">
                    <c:v>7/12/2025</c:v>
                  </c:pt>
                  <c:pt idx="63">
                    <c:v>9/13/2007</c:v>
                  </c:pt>
                  <c:pt idx="65">
                    <c:v>  2/16/2009</c:v>
                  </c:pt>
                  <c:pt idx="66">
                    <c:v>  2/16/2010</c:v>
                  </c:pt>
                  <c:pt idx="67">
                    <c:v>5/27/2004</c:v>
                  </c:pt>
                </c:lvl>
                <c:lvl>
                  <c:pt idx="17">
                    <c:v>Keshav Raj</c:v>
                  </c:pt>
                  <c:pt idx="19">
                    <c:v>Riya Kumari</c:v>
                  </c:pt>
                  <c:pt idx="21">
                    <c:v>Shakshi Shital</c:v>
                  </c:pt>
                  <c:pt idx="23">
                    <c:v>Harsh Ranjan</c:v>
                  </c:pt>
                  <c:pt idx="25">
                    <c:v>Rohan Kumar</c:v>
                  </c:pt>
                  <c:pt idx="27">
                    <c:v>Vivek Sharma</c:v>
                  </c:pt>
                  <c:pt idx="29">
                    <c:v>Ricky Kumar</c:v>
                  </c:pt>
                  <c:pt idx="31">
                    <c:v>Raj Kumar</c:v>
                  </c:pt>
                  <c:pt idx="32">
                    <c:v>Kaushal Sharma</c:v>
                  </c:pt>
                  <c:pt idx="33">
                    <c:v>Vicky Kumar</c:v>
                  </c:pt>
                  <c:pt idx="34">
                    <c:v>keshavraj1694@gmail.com</c:v>
                  </c:pt>
                  <c:pt idx="36">
                    <c:v>riyakumari2367@gmail.com</c:v>
                  </c:pt>
                  <c:pt idx="38">
                    <c:v>shakshishital1624@gmail.com</c:v>
                  </c:pt>
                  <c:pt idx="40">
                    <c:v>harshranjan1644@gmail.com</c:v>
                  </c:pt>
                  <c:pt idx="42">
                    <c:v>rohankumar3414@gmail.com</c:v>
                  </c:pt>
                  <c:pt idx="44">
                    <c:v>viveksharma6321@gmail.com</c:v>
                  </c:pt>
                  <c:pt idx="46">
                    <c:v>rickykumar9824@gmail.com</c:v>
                  </c:pt>
                  <c:pt idx="48">
                    <c:v>rajkumar2314@gmail.com</c:v>
                  </c:pt>
                  <c:pt idx="49">
                    <c:v>kaushalsharma1244@gmail.com</c:v>
                  </c:pt>
                  <c:pt idx="50">
                    <c:v>vickykumar1789gmail.com</c:v>
                  </c:pt>
                  <c:pt idx="51">
                    <c:v>25000</c:v>
                  </c:pt>
                  <c:pt idx="52">
                    <c:v>25000</c:v>
                  </c:pt>
                  <c:pt idx="53">
                    <c:v>30000</c:v>
                  </c:pt>
                  <c:pt idx="54">
                    <c:v>30000</c:v>
                  </c:pt>
                  <c:pt idx="55">
                    <c:v>35000</c:v>
                  </c:pt>
                  <c:pt idx="56">
                    <c:v>35000</c:v>
                  </c:pt>
                  <c:pt idx="57">
                    <c:v>40000</c:v>
                  </c:pt>
                  <c:pt idx="58">
                    <c:v>40000</c:v>
                  </c:pt>
                  <c:pt idx="59">
                    <c:v>40000</c:v>
                  </c:pt>
                  <c:pt idx="60">
                    <c:v>40000</c:v>
                  </c:pt>
                  <c:pt idx="61">
                    <c:v>50000</c:v>
                  </c:pt>
                  <c:pt idx="62">
                    <c:v>50000</c:v>
                  </c:pt>
                  <c:pt idx="63">
                    <c:v>60000</c:v>
                  </c:pt>
                  <c:pt idx="64">
                    <c:v>60000</c:v>
                  </c:pt>
                  <c:pt idx="65">
                    <c:v>70000</c:v>
                  </c:pt>
                  <c:pt idx="66">
                    <c:v>70000</c:v>
                  </c:pt>
                  <c:pt idx="67">
                    <c:v>100000</c:v>
                  </c:pt>
                </c:lvl>
                <c:lvl>
                  <c:pt idx="17">
                    <c:v>Raj</c:v>
                  </c:pt>
                  <c:pt idx="19">
                    <c:v>Kumari</c:v>
                  </c:pt>
                  <c:pt idx="21">
                    <c:v>Shital</c:v>
                  </c:pt>
                  <c:pt idx="23">
                    <c:v>Ranjan</c:v>
                  </c:pt>
                  <c:pt idx="25">
                    <c:v>Kumar</c:v>
                  </c:pt>
                  <c:pt idx="27">
                    <c:v>Sharma</c:v>
                  </c:pt>
                  <c:pt idx="29">
                    <c:v>Kumar</c:v>
                  </c:pt>
                  <c:pt idx="31">
                    <c:v>Kumar</c:v>
                  </c:pt>
                  <c:pt idx="32">
                    <c:v>Sharma</c:v>
                  </c:pt>
                  <c:pt idx="33">
                    <c:v>Kumar</c:v>
                  </c:pt>
                  <c:pt idx="34">
                    <c:v>Good</c:v>
                  </c:pt>
                  <c:pt idx="36">
                    <c:v>Good</c:v>
                  </c:pt>
                  <c:pt idx="38">
                    <c:v>Poor</c:v>
                  </c:pt>
                  <c:pt idx="40">
                    <c:v>Excellent</c:v>
                  </c:pt>
                  <c:pt idx="42">
                    <c:v>Average</c:v>
                  </c:pt>
                  <c:pt idx="44">
                    <c:v>Nice</c:v>
                  </c:pt>
                  <c:pt idx="46">
                    <c:v>Average</c:v>
                  </c:pt>
                  <c:pt idx="48">
                    <c:v>Nice</c:v>
                  </c:pt>
                  <c:pt idx="49">
                    <c:v>Average</c:v>
                  </c:pt>
                  <c:pt idx="50">
                    <c:v>Good</c:v>
                  </c:pt>
                </c:lvl>
                <c:lvl>
                  <c:pt idx="17">
                    <c:v>Keshav</c:v>
                  </c:pt>
                  <c:pt idx="19">
                    <c:v>Riya</c:v>
                  </c:pt>
                  <c:pt idx="21">
                    <c:v>Shakshi</c:v>
                  </c:pt>
                  <c:pt idx="23">
                    <c:v>Harsh</c:v>
                  </c:pt>
                  <c:pt idx="25">
                    <c:v>Rohan</c:v>
                  </c:pt>
                  <c:pt idx="27">
                    <c:v>Vivek</c:v>
                  </c:pt>
                  <c:pt idx="29">
                    <c:v>Ricky</c:v>
                  </c:pt>
                  <c:pt idx="31">
                    <c:v>Raj</c:v>
                  </c:pt>
                  <c:pt idx="32">
                    <c:v>Kaushal</c:v>
                  </c:pt>
                  <c:pt idx="33">
                    <c:v>Vicky</c:v>
                  </c:pt>
                </c:lvl>
              </c:multiLvlStrCache>
            </c:multiLvlStrRef>
          </c:cat>
          <c:val>
            <c:numRef>
              <c:f>Sheet1!$Q$3:$Q$19</c:f>
              <c:numCache>
                <c:formatCode>General</c:formatCode>
                <c:ptCount val="17"/>
                <c:pt idx="0">
                  <c:v>18</c:v>
                </c:pt>
                <c:pt idx="2">
                  <c:v>19</c:v>
                </c:pt>
                <c:pt idx="4">
                  <c:v>0</c:v>
                </c:pt>
                <c:pt idx="6">
                  <c:v>21</c:v>
                </c:pt>
                <c:pt idx="8">
                  <c:v>1</c:v>
                </c:pt>
                <c:pt idx="10">
                  <c:v>0</c:v>
                </c:pt>
                <c:pt idx="12">
                  <c:v>18</c:v>
                </c:pt>
                <c:pt idx="14">
                  <c:v>17</c:v>
                </c:pt>
                <c:pt idx="15">
                  <c:v>17</c:v>
                </c:pt>
                <c:pt idx="1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8F-474B-BC2D-7AECEB60B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0236416"/>
        <c:axId val="730236896"/>
        <c:axId val="0"/>
      </c:bar3DChart>
      <c:catAx>
        <c:axId val="730236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36896"/>
        <c:crosses val="autoZero"/>
        <c:auto val="1"/>
        <c:lblAlgn val="ctr"/>
        <c:lblOffset val="100"/>
        <c:noMultiLvlLbl val="0"/>
      </c:catAx>
      <c:valAx>
        <c:axId val="73023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3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220675</xdr:colOff>
      <xdr:row>23</xdr:row>
      <xdr:rowOff>96819</xdr:rowOff>
    </xdr:from>
    <xdr:to>
      <xdr:col>10</xdr:col>
      <xdr:colOff>528386</xdr:colOff>
      <xdr:row>37</xdr:row>
      <xdr:rowOff>37955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12ED30-FEA3-B7B4-F273-CE2F9C0E1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veksharma6321@gmail.com" TargetMode="External"/><Relationship Id="rId3" Type="http://schemas.openxmlformats.org/officeDocument/2006/relationships/hyperlink" Target="mailto:riyakumari2367@gmail.com" TargetMode="External"/><Relationship Id="rId7" Type="http://schemas.openxmlformats.org/officeDocument/2006/relationships/hyperlink" Target="mailto:kaushalsharma1244@gmail.co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vickykumar1644@gmail.com" TargetMode="External"/><Relationship Id="rId1" Type="http://schemas.openxmlformats.org/officeDocument/2006/relationships/hyperlink" Target="mailto:harshranjan1644@gmail.com" TargetMode="External"/><Relationship Id="rId6" Type="http://schemas.openxmlformats.org/officeDocument/2006/relationships/hyperlink" Target="mailto:rajkumar2314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rickykumar9824@gmail.com" TargetMode="External"/><Relationship Id="rId10" Type="http://schemas.openxmlformats.org/officeDocument/2006/relationships/hyperlink" Target="mailto:rohankumar3414@gmail.com" TargetMode="External"/><Relationship Id="rId4" Type="http://schemas.openxmlformats.org/officeDocument/2006/relationships/hyperlink" Target="mailto:keshavraj1694@gmail.com" TargetMode="External"/><Relationship Id="rId9" Type="http://schemas.openxmlformats.org/officeDocument/2006/relationships/hyperlink" Target="mailto:shakshishital16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4388-1060-4C23-BFF1-7394AD783316}">
  <dimension ref="A2:R30"/>
  <sheetViews>
    <sheetView tabSelected="1" zoomScale="69" zoomScaleNormal="69" workbookViewId="0">
      <selection activeCell="V33" sqref="V33"/>
    </sheetView>
  </sheetViews>
  <sheetFormatPr defaultRowHeight="14.4" outlineLevelRow="2" x14ac:dyDescent="0.3"/>
  <cols>
    <col min="1" max="1" width="9.6640625" customWidth="1"/>
    <col min="2" max="3" width="14.21875" hidden="1" customWidth="1"/>
    <col min="4" max="6" width="14.21875" customWidth="1"/>
    <col min="7" max="7" width="11.109375" customWidth="1"/>
    <col min="8" max="8" width="14.21875" hidden="1" customWidth="1"/>
    <col min="9" max="9" width="14.21875" customWidth="1"/>
    <col min="10" max="10" width="27.88671875" customWidth="1"/>
    <col min="11" max="11" width="18.5546875" customWidth="1"/>
    <col min="12" max="12" width="18.44140625" hidden="1" customWidth="1"/>
    <col min="13" max="13" width="17.6640625" customWidth="1"/>
    <col min="14" max="14" width="11.5546875" customWidth="1"/>
    <col min="15" max="15" width="11.5546875" hidden="1" customWidth="1"/>
    <col min="16" max="16" width="16.5546875" customWidth="1"/>
    <col min="17" max="17" width="23.6640625" customWidth="1"/>
    <col min="18" max="18" width="11.21875" customWidth="1"/>
  </cols>
  <sheetData>
    <row r="2" spans="1:18" ht="18" x14ac:dyDescent="0.35">
      <c r="A2" s="2" t="s">
        <v>6</v>
      </c>
      <c r="B2" s="2" t="s">
        <v>0</v>
      </c>
      <c r="C2" s="2" t="s">
        <v>27</v>
      </c>
      <c r="D2" s="2" t="s">
        <v>28</v>
      </c>
      <c r="E2" s="2" t="s">
        <v>40</v>
      </c>
      <c r="F2" s="2" t="s">
        <v>46</v>
      </c>
      <c r="G2" s="2" t="s">
        <v>76</v>
      </c>
      <c r="H2" s="2" t="s">
        <v>74</v>
      </c>
      <c r="I2" s="2" t="s">
        <v>74</v>
      </c>
      <c r="J2" s="2" t="s">
        <v>1</v>
      </c>
      <c r="K2" s="2" t="s">
        <v>2</v>
      </c>
      <c r="L2" s="2" t="s">
        <v>3</v>
      </c>
      <c r="M2" s="2" t="s">
        <v>70</v>
      </c>
      <c r="N2" s="2" t="s">
        <v>4</v>
      </c>
      <c r="O2" s="2" t="s">
        <v>73</v>
      </c>
      <c r="P2" s="2" t="s">
        <v>5</v>
      </c>
      <c r="Q2" s="2" t="s">
        <v>72</v>
      </c>
      <c r="R2" s="2" t="s">
        <v>75</v>
      </c>
    </row>
    <row r="3" spans="1:18" ht="15.6" outlineLevel="2" x14ac:dyDescent="0.3">
      <c r="A3" s="3" t="s">
        <v>10</v>
      </c>
      <c r="B3" s="3" t="s">
        <v>20</v>
      </c>
      <c r="C3" s="3" t="str">
        <f>TRIM(B3)</f>
        <v>Keshav Raj</v>
      </c>
      <c r="D3" s="3" t="s">
        <v>32</v>
      </c>
      <c r="E3" s="3" t="s">
        <v>34</v>
      </c>
      <c r="F3" s="3" t="str">
        <f>_xlfn.CONCAT(D3," ",E3)</f>
        <v>Keshav Raj</v>
      </c>
      <c r="G3" s="3">
        <v>2</v>
      </c>
      <c r="H3" s="3" t="str" cm="1">
        <f t="array" ref="H3">_xlfn.IFS(G3=1,"Excellent",G3=2,"Good",G3=3,"Average",G3=4,"Nice",G3=5,"Poor")</f>
        <v>Good</v>
      </c>
      <c r="I3" s="3" t="str" cm="1">
        <f t="array" ref="I3">_xlfn.SWITCH(G3,1,"Excellent",2,"Good",3,"Average",4,"Nice",5,"Poor")</f>
        <v>Good</v>
      </c>
      <c r="J3" s="4" t="s">
        <v>49</v>
      </c>
      <c r="K3" s="3" t="s">
        <v>59</v>
      </c>
      <c r="L3" s="3" t="s">
        <v>64</v>
      </c>
      <c r="M3" s="3">
        <v>25000</v>
      </c>
      <c r="N3" s="5">
        <v>39337</v>
      </c>
      <c r="O3" s="5">
        <f ca="1">TODAY()</f>
        <v>46059</v>
      </c>
      <c r="P3" s="3">
        <f>YEAR(N3)</f>
        <v>2007</v>
      </c>
      <c r="Q3" s="3">
        <f ca="1">DATEDIF(N3,TODAY(),"y")</f>
        <v>18</v>
      </c>
      <c r="R3" s="3" t="str">
        <f>IF(OR(K3="HR",K3="Sales"),"Bonus","No Bonus")</f>
        <v>No Bonus</v>
      </c>
    </row>
    <row r="4" spans="1:18" ht="15.6" outlineLevel="1" x14ac:dyDescent="0.3">
      <c r="A4" s="3"/>
      <c r="B4" s="3"/>
      <c r="C4" s="3"/>
      <c r="D4" s="3"/>
      <c r="E4" s="3"/>
      <c r="F4" s="3"/>
      <c r="G4" s="3"/>
      <c r="H4" s="3"/>
      <c r="I4" s="3"/>
      <c r="J4" s="4"/>
      <c r="K4" s="7" t="s">
        <v>80</v>
      </c>
      <c r="L4" s="3"/>
      <c r="M4" s="3">
        <f>SUBTOTAL(9,M3:M3)</f>
        <v>25000</v>
      </c>
      <c r="N4" s="5"/>
      <c r="O4" s="5"/>
      <c r="P4" s="3"/>
      <c r="Q4" s="3"/>
      <c r="R4" s="3"/>
    </row>
    <row r="5" spans="1:18" ht="15.6" outlineLevel="2" x14ac:dyDescent="0.3">
      <c r="A5" s="3" t="s">
        <v>9</v>
      </c>
      <c r="B5" s="3" t="s">
        <v>19</v>
      </c>
      <c r="C5" s="3" t="str">
        <f>TRIM(B5)</f>
        <v>Riya Kumari</v>
      </c>
      <c r="D5" s="3" t="s">
        <v>31</v>
      </c>
      <c r="E5" s="3" t="s">
        <v>42</v>
      </c>
      <c r="F5" s="3" t="str">
        <f>_xlfn.CONCAT(D5," ",E5)</f>
        <v>Riya Kumari</v>
      </c>
      <c r="G5" s="3">
        <v>2</v>
      </c>
      <c r="H5" s="3" t="str" cm="1">
        <f t="array" ref="H5">_xlfn.IFS(G5=1,"Excellent",G5=2,"Good",G5=3,"Average",G5=4,"Nice",G5=5,"Poor")</f>
        <v>Good</v>
      </c>
      <c r="I5" s="3" t="str" cm="1">
        <f t="array" ref="I5">_xlfn.SWITCH(G5,1,"Excellent",2,"Good",3,"Average",4,"Nice",5,"Poor")</f>
        <v>Good</v>
      </c>
      <c r="J5" s="4" t="s">
        <v>48</v>
      </c>
      <c r="K5" s="3" t="s">
        <v>58</v>
      </c>
      <c r="L5" s="3" t="s">
        <v>63</v>
      </c>
      <c r="M5" s="3">
        <v>30000</v>
      </c>
      <c r="N5" s="5">
        <v>38999</v>
      </c>
      <c r="O5" s="5">
        <f ca="1">TODAY()</f>
        <v>46059</v>
      </c>
      <c r="P5" s="3">
        <f>YEAR(N5)</f>
        <v>2006</v>
      </c>
      <c r="Q5" s="3">
        <f ca="1">DATEDIF(N5,TODAY(),"y")</f>
        <v>19</v>
      </c>
      <c r="R5" s="3" t="str">
        <f>IF(OR(K5="HR",K5="Sales"),"Bonus","No Bonus")</f>
        <v>No Bonus</v>
      </c>
    </row>
    <row r="6" spans="1:18" ht="15.6" outlineLevel="1" x14ac:dyDescent="0.3">
      <c r="A6" s="3"/>
      <c r="B6" s="3"/>
      <c r="C6" s="3"/>
      <c r="D6" s="3"/>
      <c r="E6" s="3"/>
      <c r="F6" s="3"/>
      <c r="G6" s="3"/>
      <c r="H6" s="3"/>
      <c r="I6" s="3"/>
      <c r="J6" s="4"/>
      <c r="K6" s="7" t="s">
        <v>81</v>
      </c>
      <c r="L6" s="3"/>
      <c r="M6" s="3">
        <f>SUBTOTAL(9,M5:M5)</f>
        <v>30000</v>
      </c>
      <c r="N6" s="5"/>
      <c r="O6" s="5"/>
      <c r="P6" s="3"/>
      <c r="Q6" s="3"/>
      <c r="R6" s="3"/>
    </row>
    <row r="7" spans="1:18" ht="15.6" outlineLevel="2" x14ac:dyDescent="0.3">
      <c r="A7" s="3" t="s">
        <v>15</v>
      </c>
      <c r="B7" s="3" t="s">
        <v>25</v>
      </c>
      <c r="C7" s="3" t="str">
        <f>TRIM(B7)</f>
        <v>Shakshi Shital</v>
      </c>
      <c r="D7" s="3" t="s">
        <v>37</v>
      </c>
      <c r="E7" s="3" t="s">
        <v>44</v>
      </c>
      <c r="F7" s="3" t="str">
        <f>_xlfn.CONCAT(D7," ",E7)</f>
        <v>Shakshi Shital</v>
      </c>
      <c r="G7" s="3">
        <v>5</v>
      </c>
      <c r="H7" s="3" t="str" cm="1">
        <f t="array" ref="H7">_xlfn.IFS(G7=1,"Excellent",G7=2,"Good",G7=3,"Average",G7=4,"Nice",G7=5,"Poor")</f>
        <v>Poor</v>
      </c>
      <c r="I7" s="3" t="str" cm="1">
        <f t="array" ref="I7">_xlfn.SWITCH(G7,1,"Excellent",2,"Good",3,"Average",4,"Nice",5,"Poor")</f>
        <v>Poor</v>
      </c>
      <c r="J7" s="4" t="s">
        <v>54</v>
      </c>
      <c r="K7" s="3" t="s">
        <v>60</v>
      </c>
      <c r="L7" s="3" t="s">
        <v>68</v>
      </c>
      <c r="M7" s="3">
        <v>35000</v>
      </c>
      <c r="N7" s="5">
        <v>45851</v>
      </c>
      <c r="O7" s="5">
        <f ca="1">TODAY()</f>
        <v>46059</v>
      </c>
      <c r="P7" s="3">
        <f>YEAR(N7)</f>
        <v>2025</v>
      </c>
      <c r="Q7" s="3">
        <f ca="1">DATEDIF(N7,TODAY(),"y")</f>
        <v>0</v>
      </c>
      <c r="R7" s="3" t="str">
        <f>IF(OR(K7="HR",K7="Sales"),"Bonus","No Bonus")</f>
        <v>Bonus</v>
      </c>
    </row>
    <row r="8" spans="1:18" ht="15.6" outlineLevel="1" x14ac:dyDescent="0.3">
      <c r="A8" s="3"/>
      <c r="B8" s="3"/>
      <c r="C8" s="3"/>
      <c r="D8" s="3"/>
      <c r="E8" s="3"/>
      <c r="F8" s="3"/>
      <c r="G8" s="3"/>
      <c r="H8" s="3"/>
      <c r="I8" s="3"/>
      <c r="J8" s="4"/>
      <c r="K8" s="7" t="s">
        <v>82</v>
      </c>
      <c r="L8" s="3"/>
      <c r="M8" s="3">
        <f>SUBTOTAL(9,M7:M7)</f>
        <v>35000</v>
      </c>
      <c r="N8" s="5"/>
      <c r="O8" s="5"/>
      <c r="P8" s="3"/>
      <c r="Q8" s="3"/>
      <c r="R8" s="3"/>
    </row>
    <row r="9" spans="1:18" ht="15.6" outlineLevel="2" x14ac:dyDescent="0.3">
      <c r="A9" s="3" t="s">
        <v>7</v>
      </c>
      <c r="B9" s="3" t="s">
        <v>17</v>
      </c>
      <c r="C9" s="3" t="str">
        <f>TRIM(B9)</f>
        <v>Harsh Ranjan</v>
      </c>
      <c r="D9" s="3" t="s">
        <v>29</v>
      </c>
      <c r="E9" s="3" t="s">
        <v>39</v>
      </c>
      <c r="F9" s="3" t="str">
        <f>_xlfn.CONCAT(D9," ",E9)</f>
        <v>Harsh Ranjan</v>
      </c>
      <c r="G9" s="3">
        <v>1</v>
      </c>
      <c r="H9" s="3" t="str" cm="1">
        <f t="array" ref="H9">_xlfn.IFS(G9=1,"Excellent",G9=2,"Good",G9=3,"Average",G9=4,"Nice",G9=5,"Poor")</f>
        <v>Excellent</v>
      </c>
      <c r="I9" s="3" t="str" cm="1">
        <f t="array" ref="I9">_xlfn.SWITCH(G9,1,"Excellent",2,"Good",3,"Average",4,"Nice",5,"Poor")</f>
        <v>Excellent</v>
      </c>
      <c r="J9" s="4" t="s">
        <v>45</v>
      </c>
      <c r="K9" s="3" t="s">
        <v>56</v>
      </c>
      <c r="L9" s="3" t="s">
        <v>61</v>
      </c>
      <c r="M9" s="3">
        <v>40000</v>
      </c>
      <c r="N9" s="5">
        <v>38265</v>
      </c>
      <c r="O9" s="5">
        <f ca="1">TODAY()</f>
        <v>46059</v>
      </c>
      <c r="P9" s="3">
        <f>YEAR(N9)</f>
        <v>2004</v>
      </c>
      <c r="Q9" s="3">
        <f ca="1">DATEDIF(N9,TODAY(),"y")</f>
        <v>21</v>
      </c>
      <c r="R9" s="3" t="str">
        <f>IF(OR(K9="HR",K9="Sales"),"Bonus","No Bonus")</f>
        <v>Bonus</v>
      </c>
    </row>
    <row r="10" spans="1:18" ht="15.6" outlineLevel="1" x14ac:dyDescent="0.3">
      <c r="A10" s="3"/>
      <c r="B10" s="3"/>
      <c r="C10" s="3"/>
      <c r="D10" s="3"/>
      <c r="E10" s="3"/>
      <c r="F10" s="3"/>
      <c r="G10" s="3"/>
      <c r="H10" s="3"/>
      <c r="I10" s="3"/>
      <c r="J10" s="4"/>
      <c r="K10" s="7" t="s">
        <v>83</v>
      </c>
      <c r="L10" s="3"/>
      <c r="M10" s="3">
        <f>SUBTOTAL(9,M9:M9)</f>
        <v>40000</v>
      </c>
      <c r="N10" s="5"/>
      <c r="O10" s="5"/>
      <c r="P10" s="3"/>
      <c r="Q10" s="3"/>
      <c r="R10" s="3"/>
    </row>
    <row r="11" spans="1:18" ht="15.6" outlineLevel="2" x14ac:dyDescent="0.3">
      <c r="A11" s="3" t="s">
        <v>16</v>
      </c>
      <c r="B11" s="3" t="s">
        <v>26</v>
      </c>
      <c r="C11" s="3" t="str">
        <f>TRIM(B11)</f>
        <v>Rohan Kumar</v>
      </c>
      <c r="D11" s="3" t="s">
        <v>38</v>
      </c>
      <c r="E11" s="3" t="s">
        <v>41</v>
      </c>
      <c r="F11" s="3" t="str">
        <f>_xlfn.CONCAT(D11," ",E11)</f>
        <v>Rohan Kumar</v>
      </c>
      <c r="G11" s="3">
        <v>3</v>
      </c>
      <c r="H11" s="3" t="str" cm="1">
        <f t="array" ref="H11">_xlfn.IFS(G11=1,"Excellent",G11=2,"Good",G11=3,"Average",G11=4,"Nice",G11=5,"Poor")</f>
        <v>Average</v>
      </c>
      <c r="I11" s="3" t="str" cm="1">
        <f t="array" ref="I11">_xlfn.SWITCH(G11,1,"Excellent",2,"Good",3,"Average",4,"Nice",5,"Poor")</f>
        <v>Average</v>
      </c>
      <c r="J11" s="4" t="s">
        <v>55</v>
      </c>
      <c r="K11" s="3" t="s">
        <v>58</v>
      </c>
      <c r="L11" s="3" t="s">
        <v>69</v>
      </c>
      <c r="M11" s="3">
        <v>40000</v>
      </c>
      <c r="N11" s="5">
        <v>45396</v>
      </c>
      <c r="O11" s="5">
        <f ca="1">TODAY()</f>
        <v>46059</v>
      </c>
      <c r="P11" s="3">
        <f>YEAR(N11)</f>
        <v>2024</v>
      </c>
      <c r="Q11" s="3">
        <f ca="1">DATEDIF(N11,TODAY(),"y")</f>
        <v>1</v>
      </c>
      <c r="R11" s="3" t="str">
        <f>IF(OR(K11="HR",K11="Sales"),"Bonus","No Bonus")</f>
        <v>No Bonus</v>
      </c>
    </row>
    <row r="12" spans="1:18" ht="15.6" outlineLevel="1" x14ac:dyDescent="0.3">
      <c r="A12" s="3"/>
      <c r="B12" s="3"/>
      <c r="C12" s="3"/>
      <c r="D12" s="3"/>
      <c r="E12" s="3"/>
      <c r="F12" s="3"/>
      <c r="G12" s="3"/>
      <c r="H12" s="3"/>
      <c r="I12" s="3"/>
      <c r="J12" s="4"/>
      <c r="K12" s="7" t="s">
        <v>81</v>
      </c>
      <c r="L12" s="3"/>
      <c r="M12" s="3">
        <f>SUBTOTAL(9,M11:M11)</f>
        <v>40000</v>
      </c>
      <c r="N12" s="5"/>
      <c r="O12" s="5"/>
      <c r="P12" s="3"/>
      <c r="Q12" s="3"/>
      <c r="R12" s="3"/>
    </row>
    <row r="13" spans="1:18" ht="15.6" outlineLevel="2" x14ac:dyDescent="0.3">
      <c r="A13" s="3" t="s">
        <v>14</v>
      </c>
      <c r="B13" s="3" t="s">
        <v>24</v>
      </c>
      <c r="C13" s="3" t="str">
        <f>TRIM(B13)</f>
        <v>Vivek Sharma</v>
      </c>
      <c r="D13" s="3" t="s">
        <v>36</v>
      </c>
      <c r="E13" s="3" t="s">
        <v>43</v>
      </c>
      <c r="F13" s="3" t="str">
        <f>_xlfn.CONCAT(D13," ",E13)</f>
        <v>Vivek Sharma</v>
      </c>
      <c r="G13" s="3">
        <v>4</v>
      </c>
      <c r="H13" s="3" t="str" cm="1">
        <f t="array" ref="H13">_xlfn.IFS(G13=1,"Excellent",G13=2,"Good",G13=3,"Average",G13=4,"Nice",G13=5,"Poor")</f>
        <v>Nice</v>
      </c>
      <c r="I13" s="3" t="str" cm="1">
        <f t="array" ref="I13">_xlfn.SWITCH(G13,1,"Excellent",2,"Good",3,"Average",4,"Nice",5,"Poor")</f>
        <v>Nice</v>
      </c>
      <c r="J13" s="4" t="s">
        <v>53</v>
      </c>
      <c r="K13" s="3" t="s">
        <v>56</v>
      </c>
      <c r="L13" s="3" t="s">
        <v>67</v>
      </c>
      <c r="M13" s="3">
        <v>50000</v>
      </c>
      <c r="N13" s="5">
        <v>45850</v>
      </c>
      <c r="O13" s="5">
        <f ca="1">TODAY()</f>
        <v>46059</v>
      </c>
      <c r="P13" s="3">
        <f>YEAR(N13)</f>
        <v>2025</v>
      </c>
      <c r="Q13" s="3">
        <f ca="1">DATEDIF(N13,TODAY(),"y")</f>
        <v>0</v>
      </c>
      <c r="R13" s="3" t="str">
        <f>IF(OR(K13="HR",K13="Sales"),"Bonus","No Bonus")</f>
        <v>Bonus</v>
      </c>
    </row>
    <row r="14" spans="1:18" ht="15.6" outlineLevel="1" x14ac:dyDescent="0.3">
      <c r="A14" s="3"/>
      <c r="B14" s="3"/>
      <c r="C14" s="3"/>
      <c r="D14" s="3"/>
      <c r="E14" s="3"/>
      <c r="F14" s="3"/>
      <c r="G14" s="3"/>
      <c r="H14" s="3"/>
      <c r="I14" s="3"/>
      <c r="J14" s="4"/>
      <c r="K14" s="7" t="s">
        <v>83</v>
      </c>
      <c r="L14" s="3"/>
      <c r="M14" s="3">
        <f>SUBTOTAL(9,M13:M13)</f>
        <v>50000</v>
      </c>
      <c r="N14" s="5"/>
      <c r="O14" s="5"/>
      <c r="P14" s="3"/>
      <c r="Q14" s="3"/>
      <c r="R14" s="3"/>
    </row>
    <row r="15" spans="1:18" ht="15.6" outlineLevel="2" x14ac:dyDescent="0.3">
      <c r="A15" s="3" t="s">
        <v>11</v>
      </c>
      <c r="B15" s="3" t="s">
        <v>21</v>
      </c>
      <c r="C15" s="3" t="str">
        <f>TRIM(B15)</f>
        <v>Ricky Kumar</v>
      </c>
      <c r="D15" s="3" t="s">
        <v>33</v>
      </c>
      <c r="E15" s="3" t="s">
        <v>41</v>
      </c>
      <c r="F15" s="3" t="str">
        <f>_xlfn.CONCAT(D15," ",E15)</f>
        <v>Ricky Kumar</v>
      </c>
      <c r="G15" s="3">
        <v>3</v>
      </c>
      <c r="H15" s="3" t="str" cm="1">
        <f t="array" ref="H15">_xlfn.IFS(G15=1,"Excellent",G15=2,"Good",G15=3,"Average",G15=4,"Nice",G15=5,"Poor")</f>
        <v>Average</v>
      </c>
      <c r="I15" s="3" t="str" cm="1">
        <f t="array" ref="I15">_xlfn.SWITCH(G15,1,"Excellent",2,"Good",3,"Average",4,"Nice",5,"Poor")</f>
        <v>Average</v>
      </c>
      <c r="J15" s="4" t="s">
        <v>50</v>
      </c>
      <c r="K15" s="3" t="s">
        <v>60</v>
      </c>
      <c r="L15" s="3" t="s">
        <v>65</v>
      </c>
      <c r="M15" s="3">
        <v>60000</v>
      </c>
      <c r="N15" s="5">
        <v>39338</v>
      </c>
      <c r="O15" s="5">
        <f ca="1">TODAY()</f>
        <v>46059</v>
      </c>
      <c r="P15" s="3">
        <f>YEAR(N15)</f>
        <v>2007</v>
      </c>
      <c r="Q15" s="3">
        <f ca="1">DATEDIF(N15,TODAY(),"y")</f>
        <v>18</v>
      </c>
      <c r="R15" s="3" t="str">
        <f>IF(OR(K15="HR",K15="Sales"),"Bonus","No Bonus")</f>
        <v>Bonus</v>
      </c>
    </row>
    <row r="16" spans="1:18" ht="15.6" outlineLevel="1" x14ac:dyDescent="0.3">
      <c r="A16" s="3"/>
      <c r="B16" s="3"/>
      <c r="C16" s="3"/>
      <c r="D16" s="3"/>
      <c r="E16" s="3"/>
      <c r="F16" s="3"/>
      <c r="G16" s="3"/>
      <c r="H16" s="3"/>
      <c r="I16" s="3"/>
      <c r="J16" s="4"/>
      <c r="K16" s="7" t="s">
        <v>82</v>
      </c>
      <c r="L16" s="3"/>
      <c r="M16" s="3">
        <f>SUBTOTAL(9,M15:M15)</f>
        <v>60000</v>
      </c>
      <c r="N16" s="5"/>
      <c r="O16" s="5"/>
      <c r="P16" s="3"/>
      <c r="Q16" s="3"/>
      <c r="R16" s="3"/>
    </row>
    <row r="17" spans="1:18" ht="15.6" outlineLevel="2" x14ac:dyDescent="0.3">
      <c r="A17" s="3" t="s">
        <v>12</v>
      </c>
      <c r="B17" s="3" t="s">
        <v>22</v>
      </c>
      <c r="C17" s="3" t="str">
        <f>TRIM(B17)</f>
        <v>Raj Kumar</v>
      </c>
      <c r="D17" s="3" t="s">
        <v>34</v>
      </c>
      <c r="E17" s="3" t="s">
        <v>41</v>
      </c>
      <c r="F17" s="3" t="str">
        <f>_xlfn.CONCAT(D17," ",E17)</f>
        <v>Raj Kumar</v>
      </c>
      <c r="G17" s="3">
        <v>4</v>
      </c>
      <c r="H17" s="3" t="str" cm="1">
        <f t="array" ref="H17">_xlfn.IFS(G17=1,"Excellent",G17=2,"Good",G17=3,"Average",G17=4,"Nice",G17=5,"Poor")</f>
        <v>Nice</v>
      </c>
      <c r="I17" s="3" t="str" cm="1">
        <f t="array" ref="I17">_xlfn.SWITCH(G17,1,"Excellent",2,"Good",3,"Average",4,"Nice",5,"Poor")</f>
        <v>Nice</v>
      </c>
      <c r="J17" s="4" t="s">
        <v>51</v>
      </c>
      <c r="K17" s="3" t="s">
        <v>57</v>
      </c>
      <c r="L17" s="3" t="s">
        <v>66</v>
      </c>
      <c r="M17" s="3">
        <v>70000</v>
      </c>
      <c r="N17" s="5" t="s">
        <v>77</v>
      </c>
      <c r="O17" s="5">
        <f ca="1">TODAY()</f>
        <v>46059</v>
      </c>
      <c r="P17" s="3">
        <v>2009</v>
      </c>
      <c r="Q17" s="3">
        <v>17</v>
      </c>
      <c r="R17" s="3" t="str">
        <f>IF(OR(K17="HR",K17="Sales"),"Bonus","No Bonus")</f>
        <v>No Bonus</v>
      </c>
    </row>
    <row r="18" spans="1:18" ht="15.6" outlineLevel="2" x14ac:dyDescent="0.3">
      <c r="A18" s="3" t="s">
        <v>13</v>
      </c>
      <c r="B18" s="3" t="s">
        <v>23</v>
      </c>
      <c r="C18" s="3" t="str">
        <f>TRIM(B18)</f>
        <v>Kaushal Sharma</v>
      </c>
      <c r="D18" s="3" t="s">
        <v>35</v>
      </c>
      <c r="E18" s="3" t="s">
        <v>43</v>
      </c>
      <c r="F18" s="3" t="str">
        <f>_xlfn.CONCAT(D18," ",E18)</f>
        <v>Kaushal Sharma</v>
      </c>
      <c r="G18" s="3">
        <v>3</v>
      </c>
      <c r="H18" s="3" t="str" cm="1">
        <f t="array" ref="H18">_xlfn.IFS(G18=1,"Excellent",G18=2,"Good",G18=3,"Average",G18=4,"Nice",G18=5,"Poor")</f>
        <v>Average</v>
      </c>
      <c r="I18" s="3" t="str" cm="1">
        <f t="array" ref="I18">_xlfn.SWITCH(G18,1,"Excellent",2,"Good",3,"Average",4,"Nice",5,"Poor")</f>
        <v>Average</v>
      </c>
      <c r="J18" s="6" t="s">
        <v>52</v>
      </c>
      <c r="K18" s="3" t="s">
        <v>57</v>
      </c>
      <c r="L18" s="3" t="s">
        <v>66</v>
      </c>
      <c r="M18" s="3">
        <v>70000</v>
      </c>
      <c r="N18" s="5" t="s">
        <v>78</v>
      </c>
      <c r="O18" s="5">
        <f ca="1">TODAY()</f>
        <v>46059</v>
      </c>
      <c r="P18" s="3">
        <v>2009</v>
      </c>
      <c r="Q18" s="3">
        <v>17</v>
      </c>
      <c r="R18" s="3" t="str">
        <f>IF(OR(K18="HR",K18="Sales"),"Bonus","No Bonus")</f>
        <v>No Bonus</v>
      </c>
    </row>
    <row r="19" spans="1:18" ht="15.6" outlineLevel="2" x14ac:dyDescent="0.3">
      <c r="A19" s="3" t="s">
        <v>8</v>
      </c>
      <c r="B19" s="3" t="s">
        <v>18</v>
      </c>
      <c r="C19" s="3" t="str">
        <f>TRIM(B19)</f>
        <v>Vicky Kumar</v>
      </c>
      <c r="D19" s="3" t="s">
        <v>30</v>
      </c>
      <c r="E19" s="3" t="s">
        <v>41</v>
      </c>
      <c r="F19" s="3" t="str">
        <f>_xlfn.CONCAT(D19," ",E19)</f>
        <v>Vicky Kumar</v>
      </c>
      <c r="G19" s="3">
        <v>2</v>
      </c>
      <c r="H19" s="3" t="str" cm="1">
        <f t="array" ref="H19">_xlfn.IFS(G19=1,"Excellent",G19=2,"Good",G19=3,"Average",G19=4,"Nice",G19=5,"Poor")</f>
        <v>Good</v>
      </c>
      <c r="I19" s="3" t="str" cm="1">
        <f t="array" ref="I19">_xlfn.SWITCH(G19,1,"Excellent",2,"Good",3,"Average",4,"Nice",5,"Poor")</f>
        <v>Good</v>
      </c>
      <c r="J19" s="4" t="s">
        <v>47</v>
      </c>
      <c r="K19" s="3" t="s">
        <v>57</v>
      </c>
      <c r="L19" s="3" t="s">
        <v>62</v>
      </c>
      <c r="M19" s="3">
        <v>100000</v>
      </c>
      <c r="N19" s="5">
        <v>38134</v>
      </c>
      <c r="O19" s="5">
        <f ca="1">TODAY()</f>
        <v>46059</v>
      </c>
      <c r="P19" s="3">
        <f>YEAR(N19)</f>
        <v>2004</v>
      </c>
      <c r="Q19" s="3">
        <f ca="1">DATEDIF(N19,TODAY(),"y")</f>
        <v>21</v>
      </c>
      <c r="R19" s="3" t="str">
        <f>IF(OR(K19="HR",K19="Sales"),"Bonus","No Bonus")</f>
        <v>No Bonus</v>
      </c>
    </row>
    <row r="20" spans="1:18" ht="15.6" outlineLevel="1" x14ac:dyDescent="0.3">
      <c r="A20" s="3"/>
      <c r="B20" s="3"/>
      <c r="C20" s="3"/>
      <c r="D20" s="3"/>
      <c r="E20" s="3"/>
      <c r="F20" s="3"/>
      <c r="G20" s="3"/>
      <c r="H20" s="3"/>
      <c r="I20" s="3"/>
      <c r="J20" s="4"/>
      <c r="K20" s="7" t="s">
        <v>84</v>
      </c>
      <c r="L20" s="3"/>
      <c r="M20" s="3">
        <f>SUBTOTAL(9,M17:M19)</f>
        <v>240000</v>
      </c>
      <c r="N20" s="5"/>
      <c r="O20" s="5"/>
      <c r="P20" s="3"/>
      <c r="Q20" s="3"/>
      <c r="R20" s="3"/>
    </row>
    <row r="21" spans="1:18" ht="15.6" x14ac:dyDescent="0.3">
      <c r="A21" s="3"/>
      <c r="B21" s="3"/>
      <c r="C21" s="3"/>
      <c r="D21" s="3"/>
      <c r="E21" s="3"/>
      <c r="F21" s="3"/>
      <c r="G21" s="3"/>
      <c r="H21" s="3"/>
      <c r="I21" s="3"/>
      <c r="J21" s="4"/>
      <c r="K21" s="7" t="s">
        <v>79</v>
      </c>
      <c r="L21" s="3"/>
      <c r="M21" s="3">
        <f>SUBTOTAL(9,M3:M19)</f>
        <v>520000</v>
      </c>
      <c r="N21" s="5"/>
      <c r="O21" s="5"/>
      <c r="P21" s="3"/>
      <c r="Q21" s="3"/>
      <c r="R21" s="3"/>
    </row>
    <row r="24" spans="1:18" ht="15.6" x14ac:dyDescent="0.3">
      <c r="A24" s="8" t="s">
        <v>86</v>
      </c>
      <c r="D24" s="9" t="s">
        <v>85</v>
      </c>
    </row>
    <row r="25" spans="1:18" x14ac:dyDescent="0.3">
      <c r="D25" s="10">
        <f>_xlfn.XLOOKUP("Harsh Ranjan",F2:F19,M2:M19)</f>
        <v>40000</v>
      </c>
      <c r="M25" s="1" t="s">
        <v>71</v>
      </c>
      <c r="N25" s="1"/>
      <c r="O25" s="1"/>
    </row>
    <row r="26" spans="1:18" x14ac:dyDescent="0.3">
      <c r="M26" s="1" t="s">
        <v>56</v>
      </c>
      <c r="N26" s="1">
        <v>90000</v>
      </c>
      <c r="O26" s="1"/>
    </row>
    <row r="27" spans="1:18" x14ac:dyDescent="0.3">
      <c r="M27" t="s">
        <v>57</v>
      </c>
      <c r="N27">
        <v>240000</v>
      </c>
    </row>
    <row r="28" spans="1:18" x14ac:dyDescent="0.3">
      <c r="M28" t="s">
        <v>58</v>
      </c>
      <c r="N28">
        <v>70000</v>
      </c>
    </row>
    <row r="29" spans="1:18" x14ac:dyDescent="0.3">
      <c r="M29" t="s">
        <v>59</v>
      </c>
      <c r="N29">
        <v>25000</v>
      </c>
    </row>
    <row r="30" spans="1:18" x14ac:dyDescent="0.3">
      <c r="M30" t="s">
        <v>60</v>
      </c>
      <c r="N30">
        <v>95000</v>
      </c>
    </row>
  </sheetData>
  <sortState xmlns:xlrd2="http://schemas.microsoft.com/office/spreadsheetml/2017/richdata2" ref="A3:R19">
    <sortCondition ref="M3:M19"/>
  </sortState>
  <dataConsolidate topLabels="1">
    <dataRefs count="2">
      <dataRef ref="H2:J13" sheet="Sheet1"/>
      <dataRef ref="J17" sheet="Sheet1"/>
    </dataRefs>
  </dataConsolidate>
  <phoneticPr fontId="1" type="noConversion"/>
  <hyperlinks>
    <hyperlink ref="J9" r:id="rId1" xr:uid="{53C96BD5-46D3-467F-BC5D-406E118E6711}"/>
    <hyperlink ref="J19" r:id="rId2" display="vickykumar1644@gmail.com" xr:uid="{7B429A1C-F4DF-4AEC-9EA5-B82F79264F7C}"/>
    <hyperlink ref="J5" r:id="rId3" xr:uid="{C37E7489-DE58-438D-8CEC-F9FA25E84BB0}"/>
    <hyperlink ref="J3" r:id="rId4" xr:uid="{BD4077C4-B5FB-476B-B7D1-781BE586765C}"/>
    <hyperlink ref="J15" r:id="rId5" xr:uid="{DF32C5AD-E925-43F0-9773-3AD9F9573173}"/>
    <hyperlink ref="J17" r:id="rId6" xr:uid="{A36175FC-E157-4A74-BF0B-CAD2C32E3674}"/>
    <hyperlink ref="J18" r:id="rId7" xr:uid="{7D3F51A7-B196-45DB-AD60-06DEF678D702}"/>
    <hyperlink ref="J13" r:id="rId8" xr:uid="{DA9741FD-878A-498D-8407-F6B2EF7213C3}"/>
    <hyperlink ref="J7" r:id="rId9" xr:uid="{D3DC5C5E-23F6-4FC7-AF16-D1F08B1F9355}"/>
    <hyperlink ref="J11" r:id="rId10" xr:uid="{089BAEAC-A989-40F1-84B8-D715485AB2CF}"/>
  </hyperlinks>
  <pageMargins left="0.7" right="0.7" top="0.75" bottom="0.75" header="0.3" footer="0.3"/>
  <pageSetup orientation="portrait" r:id="rId11"/>
  <rowBreaks count="8" manualBreakCount="8">
    <brk id="4" max="16383" man="1"/>
    <brk id="6" max="16383" man="1"/>
    <brk id="8" max="16383" man="1"/>
    <brk id="10" max="16383" man="1"/>
    <brk id="12" max="16383" man="1"/>
    <brk id="14" max="16383" man="1"/>
    <brk id="16" max="16383" man="1"/>
    <brk id="21" max="16383" man="1"/>
  </rowBreaks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RANJAN</dc:creator>
  <cp:lastModifiedBy>HARSH RANJAN</cp:lastModifiedBy>
  <cp:lastPrinted>2026-02-05T18:33:52Z</cp:lastPrinted>
  <dcterms:created xsi:type="dcterms:W3CDTF">2026-02-05T18:10:10Z</dcterms:created>
  <dcterms:modified xsi:type="dcterms:W3CDTF">2026-02-06T13:48:16Z</dcterms:modified>
</cp:coreProperties>
</file>